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abf82f0480eb4c/Desktop/"/>
    </mc:Choice>
  </mc:AlternateContent>
  <xr:revisionPtr revIDLastSave="177" documentId="8_{E8E514BA-84B2-4042-8F30-5709986D2B69}" xr6:coauthVersionLast="47" xr6:coauthVersionMax="47" xr10:uidLastSave="{BB221CE3-D62F-4DF9-80D3-949EF0D366BA}"/>
  <bookViews>
    <workbookView xWindow="-108" yWindow="-108" windowWidth="41496" windowHeight="16776" xr2:uid="{00000000-000D-0000-FFFF-FFFF00000000}"/>
  </bookViews>
  <sheets>
    <sheet name="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4" i="1"/>
  <c r="G23" i="1"/>
  <c r="G19" i="1"/>
  <c r="G18" i="1"/>
  <c r="G17" i="1"/>
  <c r="G16" i="1"/>
  <c r="G13" i="1"/>
  <c r="G12" i="1"/>
  <c r="G11" i="1"/>
  <c r="G10" i="1"/>
  <c r="G9" i="1"/>
  <c r="G8" i="1"/>
  <c r="G7" i="1"/>
  <c r="G14" i="1"/>
  <c r="G20" i="1"/>
  <c r="G22" i="1"/>
  <c r="G6" i="1"/>
  <c r="F40" i="1"/>
  <c r="F39" i="1"/>
  <c r="F38" i="1"/>
  <c r="F37" i="1"/>
  <c r="F36" i="1"/>
  <c r="F35" i="1"/>
  <c r="F34" i="1"/>
  <c r="F33" i="1"/>
  <c r="F31" i="1"/>
  <c r="F28" i="1"/>
  <c r="F27" i="1"/>
  <c r="F21" i="1"/>
  <c r="G25" i="1"/>
  <c r="G30" i="1"/>
  <c r="H29" i="1"/>
  <c r="H24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3" i="1"/>
  <c r="C41" i="1"/>
  <c r="F5" i="1"/>
  <c r="B2" i="1"/>
</calcChain>
</file>

<file path=xl/sharedStrings.xml><?xml version="1.0" encoding="utf-8"?>
<sst xmlns="http://schemas.openxmlformats.org/spreadsheetml/2006/main" count="118" uniqueCount="55">
  <si>
    <t>Valoración de Inventario - Solo Costos</t>
  </si>
  <si>
    <t>Total costo compra registrado</t>
  </si>
  <si>
    <t>Categoría</t>
  </si>
  <si>
    <t>Artículo</t>
  </si>
  <si>
    <t>Costo compra</t>
  </si>
  <si>
    <t>Cantidad compra</t>
  </si>
  <si>
    <t>Costo unitario</t>
  </si>
  <si>
    <t>Materia prima</t>
  </si>
  <si>
    <t>Cápsulas</t>
  </si>
  <si>
    <t>unidades</t>
  </si>
  <si>
    <t>Bicarbonato</t>
  </si>
  <si>
    <t>Bentonita</t>
  </si>
  <si>
    <t>Comino Negro</t>
  </si>
  <si>
    <t>Espirulina</t>
  </si>
  <si>
    <t>Colágeno Res</t>
  </si>
  <si>
    <t>Colágeno Pollo</t>
  </si>
  <si>
    <t>Cayena</t>
  </si>
  <si>
    <t>Magnesio Citrato</t>
  </si>
  <si>
    <t>Magnesio Bisglicinato</t>
  </si>
  <si>
    <t>Cúrcuma</t>
  </si>
  <si>
    <t>Vitamina C</t>
  </si>
  <si>
    <t>Papaya</t>
  </si>
  <si>
    <t>Boro</t>
  </si>
  <si>
    <t>Kelp</t>
  </si>
  <si>
    <t>Para extractos</t>
  </si>
  <si>
    <t>Glicerina</t>
  </si>
  <si>
    <t>Goteros 2 oz</t>
  </si>
  <si>
    <t>Cremas</t>
  </si>
  <si>
    <t>Neem (aceite)</t>
  </si>
  <si>
    <t>Mentol</t>
  </si>
  <si>
    <t>Cera de Abeja</t>
  </si>
  <si>
    <t>Aceite Pino</t>
  </si>
  <si>
    <t>Aceite Zanahoria</t>
  </si>
  <si>
    <t>Frasco para Crema 4 oz</t>
  </si>
  <si>
    <t>Frasco para Crema 2 oz</t>
  </si>
  <si>
    <t>Caléndula</t>
  </si>
  <si>
    <t>Aceite de Castor</t>
  </si>
  <si>
    <t>Empaque / Suministros</t>
  </si>
  <si>
    <t>Labels</t>
  </si>
  <si>
    <t>unidad</t>
  </si>
  <si>
    <t>Bolsas de envío</t>
  </si>
  <si>
    <t>Bolsas X-Grandes 29.2 x 19.8 cm</t>
  </si>
  <si>
    <t>Bolsas Grandes 19.6 x 13.9 cm</t>
  </si>
  <si>
    <t>Bolsas medianas 12.6 x 7 cm</t>
  </si>
  <si>
    <t>Bolsas pequeñas / muestras</t>
  </si>
  <si>
    <t>Bolsas Blancas 15 x 10 cm</t>
  </si>
  <si>
    <t>Bolsas Negras</t>
  </si>
  <si>
    <t>Bolsas verdes</t>
  </si>
  <si>
    <t>Frascos para Extractos</t>
  </si>
  <si>
    <t>TOTAL COSTOS REGISTRADOS</t>
  </si>
  <si>
    <t>Costo por libra</t>
  </si>
  <si>
    <t>Costo por  onza</t>
  </si>
  <si>
    <t>Unidad medida</t>
  </si>
  <si>
    <t>Libras</t>
  </si>
  <si>
    <t>Onzas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</si>
</sst>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"/>
    <numFmt numFmtId="168" formatCode="&quot;$&quot;#,##0.00"/>
    <numFmt numFmtId="170" formatCode="_(&quot;$&quot;* #,##0.0000_);_(&quot;$&quot;* \(#,##0.0000\);_(&quot;$&quot;* &quot;-&quot;????_);_(@_)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164" fontId="2" fillId="5" borderId="2" xfId="0" applyNumberFormat="1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2" xfId="0" applyFont="1" applyFill="1" applyBorder="1" applyAlignment="1">
      <alignment vertical="top" wrapText="1"/>
    </xf>
    <xf numFmtId="168" fontId="0" fillId="0" borderId="0" xfId="0" applyNumberFormat="1"/>
    <xf numFmtId="168" fontId="3" fillId="4" borderId="0" xfId="0" applyNumberFormat="1" applyFont="1" applyFill="1" applyAlignment="1">
      <alignment horizontal="center" vertical="center" wrapText="1"/>
    </xf>
    <xf numFmtId="168" fontId="2" fillId="5" borderId="2" xfId="0" applyNumberFormat="1" applyFont="1" applyFill="1" applyBorder="1" applyAlignment="1">
      <alignment vertical="top" wrapText="1"/>
    </xf>
    <xf numFmtId="168" fontId="2" fillId="5" borderId="3" xfId="0" applyNumberFormat="1" applyFont="1" applyFill="1" applyBorder="1" applyAlignment="1">
      <alignment vertical="top" wrapText="1"/>
    </xf>
    <xf numFmtId="170" fontId="0" fillId="0" borderId="0" xfId="1" applyNumberFormat="1" applyFont="1" applyAlignment="1">
      <alignment vertical="top" wrapText="1"/>
    </xf>
    <xf numFmtId="170" fontId="0" fillId="0" borderId="0" xfId="0" applyNumberFormat="1" applyAlignment="1">
      <alignment vertical="top" wrapText="1"/>
    </xf>
  </cellXfs>
  <cellStyles count="2">
    <cellStyle name="Currency" xfId="1" builtinId="4"/>
    <cellStyle name="Normal" xfId="0" builtinId="0"/>
  </cellStyles>
  <dxfs count="3">
    <dxf>
      <numFmt numFmtId="170" formatCode="_(&quot;$&quot;* #,##0.0000_);_(&quot;$&quot;* \(#,##0.0000\);_(&quot;$&quot;* &quot;-&quot;????_);_(@_)"/>
      <alignment horizontal="general" vertical="top" textRotation="0" wrapText="1" indent="0" justifyLastLine="0" shrinkToFit="0" readingOrder="0"/>
    </dxf>
    <dxf>
      <numFmt numFmtId="170" formatCode="_(&quot;$&quot;* #,##0.0000_);_(&quot;$&quot;* \(#,##0.0000\);_(&quot;$&quot;* &quot;-&quot;????_);_(@_)"/>
      <alignment horizontal="general" vertical="top" textRotation="0" wrapText="1" indent="0" justifyLastLine="0" shrinkToFit="0" readingOrder="0"/>
    </dxf>
    <dxf>
      <numFmt numFmtId="170" formatCode="_(&quot;$&quot;* #,##0.0000_);_(&quot;$&quot;* \(#,##0.0000\);_(&quot;$&quot;* &quot;-&quot;??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osInventario" displayName="CostosInventario" ref="A4:H40">
  <tableColumns count="8">
    <tableColumn id="1" xr3:uid="{00000000-0010-0000-0000-000001000000}" name="Categoría"/>
    <tableColumn id="2" xr3:uid="{00000000-0010-0000-0000-000002000000}" name="Artículo"/>
    <tableColumn id="3" xr3:uid="{00000000-0010-0000-0000-000003000000}" name="Costo compra"/>
    <tableColumn id="4" xr3:uid="{00000000-0010-0000-0000-000004000000}" name="Cantidad compra"/>
    <tableColumn id="5" xr3:uid="{00000000-0010-0000-0000-000005000000}" name="Unidad medida"/>
    <tableColumn id="6" xr3:uid="{00000000-0010-0000-0000-000006000000}" name="Costo unitario" dataDxfId="2"/>
    <tableColumn id="13" xr3:uid="{D97379AE-A2FE-44C4-BDA8-B3C94F609435}" name="Costo por  onza" dataDxfId="1">
      <calculatedColumnFormula>CostosInventario[[#This Row],[Costo compra]]/CostosInventario[[#This Row],[Cantidad compra]]</calculatedColumnFormula>
    </tableColumn>
    <tableColumn id="12" xr3:uid="{E7BD2C62-941A-41CC-B7C6-5F024B0CF746}" name="Costo por libra" dataDxfId="0">
      <calculatedColumnFormula>CostosInventario[[#This Row],[Costo compra]]/CostosInventario[[#This Row],[Cantidad compra]]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O18" sqref="O18"/>
    </sheetView>
  </sheetViews>
  <sheetFormatPr defaultRowHeight="13.8"/>
  <cols>
    <col min="1" max="1" width="27.3984375" customWidth="1"/>
    <col min="2" max="2" width="34" customWidth="1"/>
    <col min="3" max="3" width="14" customWidth="1"/>
    <col min="4" max="4" width="16" customWidth="1"/>
    <col min="5" max="5" width="14" customWidth="1"/>
    <col min="6" max="7" width="14" style="13" customWidth="1"/>
    <col min="8" max="8" width="14" customWidth="1"/>
  </cols>
  <sheetData>
    <row r="1" spans="1:8" ht="22.35" customHeight="1">
      <c r="A1" s="10" t="s">
        <v>0</v>
      </c>
      <c r="B1" s="11"/>
      <c r="C1" s="11"/>
      <c r="D1" s="11"/>
      <c r="E1" s="11"/>
      <c r="F1" s="11"/>
      <c r="G1" s="11"/>
      <c r="H1" s="11"/>
    </row>
    <row r="2" spans="1:8">
      <c r="A2" s="1" t="s">
        <v>1</v>
      </c>
      <c r="B2" s="2">
        <f>SUM(C5:C40)</f>
        <v>2214.94</v>
      </c>
    </row>
    <row r="4" spans="1:8" ht="22.3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52</v>
      </c>
      <c r="F4" s="14" t="s">
        <v>6</v>
      </c>
      <c r="G4" s="14" t="s">
        <v>51</v>
      </c>
      <c r="H4" s="3" t="s">
        <v>50</v>
      </c>
    </row>
    <row r="5" spans="1:8">
      <c r="A5" s="4" t="s">
        <v>7</v>
      </c>
      <c r="B5" s="4" t="s">
        <v>8</v>
      </c>
      <c r="C5" s="5">
        <v>589.99</v>
      </c>
      <c r="D5" s="6">
        <v>100000</v>
      </c>
      <c r="E5" s="4" t="s">
        <v>9</v>
      </c>
      <c r="F5" s="18">
        <f t="shared" ref="F5" si="0">IFERROR(C5/D5,"")</f>
        <v>5.8999000000000005E-3</v>
      </c>
      <c r="G5" s="18"/>
      <c r="H5" s="18"/>
    </row>
    <row r="6" spans="1:8">
      <c r="A6" s="4" t="s">
        <v>7</v>
      </c>
      <c r="B6" s="4" t="s">
        <v>10</v>
      </c>
      <c r="C6" s="5">
        <v>94</v>
      </c>
      <c r="D6" s="6">
        <v>50</v>
      </c>
      <c r="E6" s="4" t="s">
        <v>53</v>
      </c>
      <c r="F6" s="18"/>
      <c r="G6" s="17">
        <f>C6/(D6*16)</f>
        <v>0.11749999999999999</v>
      </c>
      <c r="H6" s="18">
        <f>CostosInventario[[#This Row],[Costo compra]]/CostosInventario[[#This Row],[Cantidad compra]]</f>
        <v>1.88</v>
      </c>
    </row>
    <row r="7" spans="1:8">
      <c r="A7" s="4" t="s">
        <v>7</v>
      </c>
      <c r="B7" s="4" t="s">
        <v>11</v>
      </c>
      <c r="C7" s="5">
        <v>236.27</v>
      </c>
      <c r="D7" s="6">
        <v>50</v>
      </c>
      <c r="E7" s="4" t="s">
        <v>53</v>
      </c>
      <c r="F7" s="18"/>
      <c r="G7" s="17">
        <f>C7/(D7*16)</f>
        <v>0.29533750000000003</v>
      </c>
      <c r="H7" s="18">
        <f>CostosInventario[[#This Row],[Costo compra]]/CostosInventario[[#This Row],[Cantidad compra]]</f>
        <v>4.7254000000000005</v>
      </c>
    </row>
    <row r="8" spans="1:8">
      <c r="A8" s="4" t="s">
        <v>7</v>
      </c>
      <c r="B8" s="4" t="s">
        <v>12</v>
      </c>
      <c r="C8" s="5">
        <v>38.97</v>
      </c>
      <c r="D8" s="6">
        <v>5</v>
      </c>
      <c r="E8" s="4" t="s">
        <v>53</v>
      </c>
      <c r="F8" s="18"/>
      <c r="G8" s="17">
        <f t="shared" ref="G8:G15" si="1">C8/(D8*16)</f>
        <v>0.48712499999999997</v>
      </c>
      <c r="H8" s="18">
        <f>CostosInventario[[#This Row],[Costo compra]]/CostosInventario[[#This Row],[Cantidad compra]]</f>
        <v>7.7939999999999996</v>
      </c>
    </row>
    <row r="9" spans="1:8">
      <c r="A9" s="4" t="s">
        <v>7</v>
      </c>
      <c r="B9" s="4" t="s">
        <v>13</v>
      </c>
      <c r="C9" s="5">
        <v>44.79</v>
      </c>
      <c r="D9" s="6">
        <v>4.4000000000000004</v>
      </c>
      <c r="E9" s="4" t="s">
        <v>53</v>
      </c>
      <c r="F9" s="18"/>
      <c r="G9" s="17">
        <f t="shared" si="1"/>
        <v>0.63622159090909081</v>
      </c>
      <c r="H9" s="18">
        <f>CostosInventario[[#This Row],[Costo compra]]/CostosInventario[[#This Row],[Cantidad compra]]</f>
        <v>10.179545454545453</v>
      </c>
    </row>
    <row r="10" spans="1:8">
      <c r="A10" s="4" t="s">
        <v>7</v>
      </c>
      <c r="B10" s="4" t="s">
        <v>14</v>
      </c>
      <c r="C10" s="5">
        <v>45.25</v>
      </c>
      <c r="D10" s="6">
        <v>2</v>
      </c>
      <c r="E10" s="4" t="s">
        <v>53</v>
      </c>
      <c r="F10" s="18"/>
      <c r="G10" s="17">
        <f t="shared" si="1"/>
        <v>1.4140625</v>
      </c>
      <c r="H10" s="18">
        <f>CostosInventario[[#This Row],[Costo compra]]/CostosInventario[[#This Row],[Cantidad compra]]</f>
        <v>22.625</v>
      </c>
    </row>
    <row r="11" spans="1:8">
      <c r="A11" s="4" t="s">
        <v>7</v>
      </c>
      <c r="B11" s="4" t="s">
        <v>15</v>
      </c>
      <c r="C11" s="5">
        <v>31.77</v>
      </c>
      <c r="D11" s="6">
        <v>2</v>
      </c>
      <c r="E11" s="4" t="s">
        <v>53</v>
      </c>
      <c r="F11" s="18"/>
      <c r="G11" s="17">
        <f t="shared" si="1"/>
        <v>0.99281249999999999</v>
      </c>
      <c r="H11" s="18">
        <f>CostosInventario[[#This Row],[Costo compra]]/CostosInventario[[#This Row],[Cantidad compra]]</f>
        <v>15.885</v>
      </c>
    </row>
    <row r="12" spans="1:8">
      <c r="A12" s="4" t="s">
        <v>7</v>
      </c>
      <c r="B12" s="4" t="s">
        <v>16</v>
      </c>
      <c r="C12" s="5">
        <v>35.340000000000003</v>
      </c>
      <c r="D12" s="6">
        <v>5</v>
      </c>
      <c r="E12" s="4" t="s">
        <v>53</v>
      </c>
      <c r="F12" s="18"/>
      <c r="G12" s="17">
        <f t="shared" si="1"/>
        <v>0.44175000000000003</v>
      </c>
      <c r="H12" s="18">
        <f>CostosInventario[[#This Row],[Costo compra]]/CostosInventario[[#This Row],[Cantidad compra]]</f>
        <v>7.0680000000000005</v>
      </c>
    </row>
    <row r="13" spans="1:8">
      <c r="A13" s="4" t="s">
        <v>7</v>
      </c>
      <c r="B13" s="4" t="s">
        <v>17</v>
      </c>
      <c r="C13" s="5">
        <v>27.84</v>
      </c>
      <c r="D13" s="6">
        <v>2.2000000000000002</v>
      </c>
      <c r="E13" s="4" t="s">
        <v>53</v>
      </c>
      <c r="F13" s="18"/>
      <c r="G13" s="17">
        <f t="shared" si="1"/>
        <v>0.79090909090909089</v>
      </c>
      <c r="H13" s="18">
        <f>CostosInventario[[#This Row],[Costo compra]]/CostosInventario[[#This Row],[Cantidad compra]]</f>
        <v>12.654545454545454</v>
      </c>
    </row>
    <row r="14" spans="1:8">
      <c r="A14" s="4" t="s">
        <v>7</v>
      </c>
      <c r="B14" s="4" t="s">
        <v>18</v>
      </c>
      <c r="C14" s="5">
        <v>20.63</v>
      </c>
      <c r="D14" s="6">
        <v>8.8000000000000007</v>
      </c>
      <c r="E14" s="4" t="s">
        <v>54</v>
      </c>
      <c r="F14" s="18"/>
      <c r="G14" s="17">
        <f>CostosInventario[[#This Row],[Costo compra]]/CostosInventario[[#This Row],[Cantidad compra]]</f>
        <v>2.3443181818181813</v>
      </c>
      <c r="H14" s="18"/>
    </row>
    <row r="15" spans="1:8">
      <c r="A15" s="4" t="s">
        <v>7</v>
      </c>
      <c r="B15" s="4" t="s">
        <v>19</v>
      </c>
      <c r="C15" s="5">
        <v>27.82</v>
      </c>
      <c r="D15" s="6">
        <v>5</v>
      </c>
      <c r="E15" s="4" t="s">
        <v>53</v>
      </c>
      <c r="F15" s="18"/>
      <c r="G15" s="18"/>
      <c r="H15" s="18">
        <f>CostosInventario[[#This Row],[Costo compra]]/CostosInventario[[#This Row],[Cantidad compra]]</f>
        <v>5.5640000000000001</v>
      </c>
    </row>
    <row r="16" spans="1:8">
      <c r="A16" s="4" t="s">
        <v>7</v>
      </c>
      <c r="B16" s="4" t="s">
        <v>20</v>
      </c>
      <c r="C16" s="5">
        <v>39.99</v>
      </c>
      <c r="D16" s="6">
        <v>5</v>
      </c>
      <c r="E16" s="4" t="s">
        <v>53</v>
      </c>
      <c r="F16" s="18"/>
      <c r="G16" s="17">
        <f t="shared" ref="G16:G19" si="2">C16/(D16*16)</f>
        <v>0.49987500000000001</v>
      </c>
      <c r="H16" s="18">
        <f>CostosInventario[[#This Row],[Costo compra]]/CostosInventario[[#This Row],[Cantidad compra]]</f>
        <v>7.9980000000000002</v>
      </c>
    </row>
    <row r="17" spans="1:8">
      <c r="A17" s="4" t="s">
        <v>7</v>
      </c>
      <c r="B17" s="4" t="s">
        <v>21</v>
      </c>
      <c r="C17" s="5">
        <v>33.44</v>
      </c>
      <c r="D17" s="6">
        <v>2</v>
      </c>
      <c r="E17" s="4" t="s">
        <v>53</v>
      </c>
      <c r="F17" s="18"/>
      <c r="G17" s="17">
        <f t="shared" si="2"/>
        <v>1.0449999999999999</v>
      </c>
      <c r="H17" s="18">
        <f>CostosInventario[[#This Row],[Costo compra]]/CostosInventario[[#This Row],[Cantidad compra]]</f>
        <v>16.72</v>
      </c>
    </row>
    <row r="18" spans="1:8">
      <c r="A18" s="4" t="s">
        <v>7</v>
      </c>
      <c r="B18" s="4" t="s">
        <v>22</v>
      </c>
      <c r="C18" s="5">
        <v>58.4</v>
      </c>
      <c r="D18" s="6">
        <v>5</v>
      </c>
      <c r="E18" s="4" t="s">
        <v>53</v>
      </c>
      <c r="F18" s="18"/>
      <c r="G18" s="17">
        <f t="shared" si="2"/>
        <v>0.73</v>
      </c>
      <c r="H18" s="18">
        <f>CostosInventario[[#This Row],[Costo compra]]/CostosInventario[[#This Row],[Cantidad compra]]</f>
        <v>11.68</v>
      </c>
    </row>
    <row r="19" spans="1:8">
      <c r="A19" s="4" t="s">
        <v>7</v>
      </c>
      <c r="B19" s="4" t="s">
        <v>23</v>
      </c>
      <c r="C19" s="5">
        <v>73.680000000000007</v>
      </c>
      <c r="D19" s="6">
        <v>5</v>
      </c>
      <c r="E19" s="4" t="s">
        <v>53</v>
      </c>
      <c r="F19" s="18"/>
      <c r="G19" s="17">
        <f t="shared" si="2"/>
        <v>0.92100000000000004</v>
      </c>
      <c r="H19" s="18">
        <f>CostosInventario[[#This Row],[Costo compra]]/CostosInventario[[#This Row],[Cantidad compra]]</f>
        <v>14.736000000000001</v>
      </c>
    </row>
    <row r="20" spans="1:8">
      <c r="A20" s="4" t="s">
        <v>24</v>
      </c>
      <c r="B20" s="4" t="s">
        <v>25</v>
      </c>
      <c r="C20" s="5">
        <v>93.1</v>
      </c>
      <c r="D20" s="6">
        <v>256</v>
      </c>
      <c r="E20" s="4" t="s">
        <v>54</v>
      </c>
      <c r="F20" s="18"/>
      <c r="G20" s="18">
        <f>CostosInventario[[#This Row],[Costo compra]]/CostosInventario[[#This Row],[Cantidad compra]]</f>
        <v>0.36367187499999998</v>
      </c>
      <c r="H20" s="18"/>
    </row>
    <row r="21" spans="1:8">
      <c r="A21" s="4" t="s">
        <v>24</v>
      </c>
      <c r="B21" s="4" t="s">
        <v>26</v>
      </c>
      <c r="C21" s="5">
        <v>189.19</v>
      </c>
      <c r="D21" s="6">
        <v>240</v>
      </c>
      <c r="E21" s="4" t="s">
        <v>9</v>
      </c>
      <c r="F21" s="18">
        <f>CostosInventario[[#This Row],[Costo compra]]/CostosInventario[[#This Row],[Cantidad compra]]</f>
        <v>0.78829166666666661</v>
      </c>
      <c r="G21" s="18"/>
      <c r="H21" s="18"/>
    </row>
    <row r="22" spans="1:8">
      <c r="A22" s="4" t="s">
        <v>27</v>
      </c>
      <c r="B22" s="4" t="s">
        <v>28</v>
      </c>
      <c r="C22" s="5">
        <v>35.56</v>
      </c>
      <c r="D22" s="6">
        <v>32</v>
      </c>
      <c r="E22" s="4" t="s">
        <v>54</v>
      </c>
      <c r="F22" s="18"/>
      <c r="G22" s="18">
        <f>CostosInventario[[#This Row],[Costo compra]]/CostosInventario[[#This Row],[Cantidad compra]]</f>
        <v>1.1112500000000001</v>
      </c>
      <c r="H22" s="18"/>
    </row>
    <row r="23" spans="1:8">
      <c r="A23" s="4" t="s">
        <v>27</v>
      </c>
      <c r="B23" s="4" t="s">
        <v>29</v>
      </c>
      <c r="C23" s="5">
        <v>45.6</v>
      </c>
      <c r="D23" s="6">
        <v>2</v>
      </c>
      <c r="E23" s="4" t="s">
        <v>53</v>
      </c>
      <c r="F23" s="18"/>
      <c r="G23" s="17">
        <f t="shared" ref="G23:G24" si="3">C23/(D23*16)</f>
        <v>1.425</v>
      </c>
      <c r="H23" s="18">
        <f>CostosInventario[[#This Row],[Costo compra]]/CostosInventario[[#This Row],[Cantidad compra]]</f>
        <v>22.8</v>
      </c>
    </row>
    <row r="24" spans="1:8">
      <c r="A24" s="4" t="s">
        <v>27</v>
      </c>
      <c r="B24" s="4" t="s">
        <v>30</v>
      </c>
      <c r="C24" s="5">
        <v>44.59</v>
      </c>
      <c r="D24" s="6">
        <v>10</v>
      </c>
      <c r="E24" s="4" t="s">
        <v>53</v>
      </c>
      <c r="F24" s="18"/>
      <c r="G24" s="17">
        <f t="shared" si="3"/>
        <v>0.27868750000000003</v>
      </c>
      <c r="H24" s="18">
        <f>CostosInventario[[#This Row],[Costo compra]]/CostosInventario[[#This Row],[Cantidad compra]]</f>
        <v>4.4590000000000005</v>
      </c>
    </row>
    <row r="25" spans="1:8">
      <c r="A25" s="4" t="s">
        <v>27</v>
      </c>
      <c r="B25" s="4" t="s">
        <v>31</v>
      </c>
      <c r="C25" s="5">
        <v>13.49</v>
      </c>
      <c r="D25" s="6">
        <v>2</v>
      </c>
      <c r="E25" s="4" t="s">
        <v>54</v>
      </c>
      <c r="F25" s="18"/>
      <c r="G25" s="18">
        <f>CostosInventario[[#This Row],[Costo compra]]/CostosInventario[[#This Row],[Cantidad compra]]</f>
        <v>6.7450000000000001</v>
      </c>
      <c r="H25" s="18"/>
    </row>
    <row r="26" spans="1:8">
      <c r="A26" s="4" t="s">
        <v>27</v>
      </c>
      <c r="B26" s="4" t="s">
        <v>32</v>
      </c>
      <c r="C26" s="5">
        <v>21.8</v>
      </c>
      <c r="D26" s="6"/>
      <c r="E26" s="4"/>
      <c r="F26" s="18"/>
      <c r="G26" s="18"/>
      <c r="H26" s="18"/>
    </row>
    <row r="27" spans="1:8">
      <c r="A27" s="4" t="s">
        <v>27</v>
      </c>
      <c r="B27" s="4" t="s">
        <v>33</v>
      </c>
      <c r="C27" s="5">
        <v>27.74</v>
      </c>
      <c r="D27" s="6">
        <v>50</v>
      </c>
      <c r="E27" s="4" t="s">
        <v>9</v>
      </c>
      <c r="F27" s="18">
        <f>CostosInventario[[#This Row],[Costo compra]]/CostosInventario[[#This Row],[Cantidad compra]]</f>
        <v>0.55479999999999996</v>
      </c>
      <c r="G27" s="18"/>
      <c r="H27" s="18"/>
    </row>
    <row r="28" spans="1:8">
      <c r="A28" s="4" t="s">
        <v>27</v>
      </c>
      <c r="B28" s="4" t="s">
        <v>34</v>
      </c>
      <c r="C28" s="5">
        <v>25.75</v>
      </c>
      <c r="D28" s="6">
        <v>50</v>
      </c>
      <c r="E28" s="4" t="s">
        <v>9</v>
      </c>
      <c r="F28" s="18">
        <f>CostosInventario[[#This Row],[Costo compra]]/CostosInventario[[#This Row],[Cantidad compra]]</f>
        <v>0.51500000000000001</v>
      </c>
      <c r="G28" s="18"/>
      <c r="H28" s="18"/>
    </row>
    <row r="29" spans="1:8">
      <c r="A29" s="4" t="s">
        <v>27</v>
      </c>
      <c r="B29" s="4" t="s">
        <v>35</v>
      </c>
      <c r="C29" s="5">
        <v>38.1</v>
      </c>
      <c r="D29" s="6">
        <v>3</v>
      </c>
      <c r="E29" s="4" t="s">
        <v>53</v>
      </c>
      <c r="F29" s="18"/>
      <c r="G29" s="17">
        <f t="shared" ref="G29" si="4">C29/(D29*16)</f>
        <v>0.79375000000000007</v>
      </c>
      <c r="H29" s="18">
        <f>CostosInventario[[#This Row],[Costo compra]]/CostosInventario[[#This Row],[Cantidad compra]]</f>
        <v>12.700000000000001</v>
      </c>
    </row>
    <row r="30" spans="1:8">
      <c r="A30" s="4" t="s">
        <v>27</v>
      </c>
      <c r="B30" s="4" t="s">
        <v>36</v>
      </c>
      <c r="C30" s="5">
        <v>54.19</v>
      </c>
      <c r="D30" s="6">
        <v>122.7</v>
      </c>
      <c r="E30" s="4" t="s">
        <v>54</v>
      </c>
      <c r="F30" s="18"/>
      <c r="G30" s="18">
        <f>CostosInventario[[#This Row],[Costo compra]]/CostosInventario[[#This Row],[Cantidad compra]]</f>
        <v>0.44164629176854114</v>
      </c>
      <c r="H30" s="18"/>
    </row>
    <row r="31" spans="1:8">
      <c r="A31" s="4" t="s">
        <v>37</v>
      </c>
      <c r="B31" s="4" t="s">
        <v>38</v>
      </c>
      <c r="C31" s="5">
        <v>71.239999999999995</v>
      </c>
      <c r="D31" s="6">
        <v>3000</v>
      </c>
      <c r="E31" s="4" t="s">
        <v>38</v>
      </c>
      <c r="F31" s="18">
        <f>CostosInventario[[#This Row],[Costo compra]]/CostosInventario[[#This Row],[Cantidad compra]]</f>
        <v>2.3746666666666666E-2</v>
      </c>
      <c r="G31" s="18"/>
      <c r="H31" s="18"/>
    </row>
    <row r="32" spans="1:8">
      <c r="A32" s="4" t="s">
        <v>37</v>
      </c>
      <c r="B32" s="4" t="s">
        <v>40</v>
      </c>
      <c r="C32" s="5"/>
      <c r="D32" s="6"/>
      <c r="E32" s="4" t="s">
        <v>39</v>
      </c>
      <c r="F32" s="18"/>
      <c r="G32" s="18"/>
      <c r="H32" s="18"/>
    </row>
    <row r="33" spans="1:8">
      <c r="A33" s="4" t="s">
        <v>37</v>
      </c>
      <c r="B33" s="4" t="s">
        <v>41</v>
      </c>
      <c r="C33" s="5">
        <v>13.58</v>
      </c>
      <c r="D33" s="6">
        <v>200</v>
      </c>
      <c r="E33" s="4" t="s">
        <v>9</v>
      </c>
      <c r="F33" s="18">
        <f>CostosInventario[[#This Row],[Costo compra]]/CostosInventario[[#This Row],[Cantidad compra]]</f>
        <v>6.7900000000000002E-2</v>
      </c>
      <c r="G33" s="18"/>
      <c r="H33" s="18"/>
    </row>
    <row r="34" spans="1:8">
      <c r="A34" s="4" t="s">
        <v>37</v>
      </c>
      <c r="B34" s="4" t="s">
        <v>42</v>
      </c>
      <c r="C34" s="5">
        <v>16.04</v>
      </c>
      <c r="D34" s="6">
        <v>500</v>
      </c>
      <c r="E34" s="4" t="s">
        <v>9</v>
      </c>
      <c r="F34" s="18">
        <f>CostosInventario[[#This Row],[Costo compra]]/CostosInventario[[#This Row],[Cantidad compra]]</f>
        <v>3.2079999999999997E-2</v>
      </c>
      <c r="G34" s="18"/>
      <c r="H34" s="18"/>
    </row>
    <row r="35" spans="1:8">
      <c r="A35" s="4" t="s">
        <v>37</v>
      </c>
      <c r="B35" s="4" t="s">
        <v>43</v>
      </c>
      <c r="C35" s="5">
        <v>10.34</v>
      </c>
      <c r="D35" s="6">
        <v>500</v>
      </c>
      <c r="E35" s="4" t="s">
        <v>9</v>
      </c>
      <c r="F35" s="18">
        <f>CostosInventario[[#This Row],[Costo compra]]/CostosInventario[[#This Row],[Cantidad compra]]</f>
        <v>2.068E-2</v>
      </c>
      <c r="G35" s="18"/>
      <c r="H35" s="18"/>
    </row>
    <row r="36" spans="1:8">
      <c r="A36" s="4" t="s">
        <v>37</v>
      </c>
      <c r="B36" s="4" t="s">
        <v>44</v>
      </c>
      <c r="C36" s="5">
        <v>14.54</v>
      </c>
      <c r="D36" s="6">
        <v>180</v>
      </c>
      <c r="E36" s="4" t="s">
        <v>9</v>
      </c>
      <c r="F36" s="18">
        <f>CostosInventario[[#This Row],[Costo compra]]/CostosInventario[[#This Row],[Cantidad compra]]</f>
        <v>8.0777777777777768E-2</v>
      </c>
      <c r="G36" s="18"/>
      <c r="H36" s="18"/>
    </row>
    <row r="37" spans="1:8">
      <c r="A37" s="4" t="s">
        <v>37</v>
      </c>
      <c r="B37" s="4" t="s">
        <v>45</v>
      </c>
      <c r="C37" s="5">
        <v>25.53</v>
      </c>
      <c r="D37" s="6">
        <v>1000</v>
      </c>
      <c r="E37" s="4" t="s">
        <v>9</v>
      </c>
      <c r="F37" s="18">
        <f>CostosInventario[[#This Row],[Costo compra]]/CostosInventario[[#This Row],[Cantidad compra]]</f>
        <v>2.5530000000000001E-2</v>
      </c>
      <c r="G37" s="18"/>
      <c r="H37" s="18"/>
    </row>
    <row r="38" spans="1:8">
      <c r="A38" s="4" t="s">
        <v>37</v>
      </c>
      <c r="B38" s="4" t="s">
        <v>46</v>
      </c>
      <c r="C38" s="5">
        <v>11.21</v>
      </c>
      <c r="D38" s="6">
        <v>100</v>
      </c>
      <c r="E38" s="4" t="s">
        <v>9</v>
      </c>
      <c r="F38" s="18">
        <f>CostosInventario[[#This Row],[Costo compra]]/CostosInventario[[#This Row],[Cantidad compra]]</f>
        <v>0.11210000000000001</v>
      </c>
      <c r="G38" s="18"/>
      <c r="H38" s="18"/>
    </row>
    <row r="39" spans="1:8">
      <c r="A39" s="4" t="s">
        <v>37</v>
      </c>
      <c r="B39" s="4" t="s">
        <v>47</v>
      </c>
      <c r="C39" s="5">
        <v>16.13</v>
      </c>
      <c r="D39" s="6">
        <v>200</v>
      </c>
      <c r="E39" s="4" t="s">
        <v>9</v>
      </c>
      <c r="F39" s="18">
        <f>CostosInventario[[#This Row],[Costo compra]]/CostosInventario[[#This Row],[Cantidad compra]]</f>
        <v>8.0649999999999999E-2</v>
      </c>
      <c r="G39" s="18"/>
      <c r="H39" s="18"/>
    </row>
    <row r="40" spans="1:8">
      <c r="A40" s="4" t="s">
        <v>24</v>
      </c>
      <c r="B40" s="4" t="s">
        <v>48</v>
      </c>
      <c r="C40" s="5">
        <v>49.04</v>
      </c>
      <c r="D40" s="6">
        <v>60</v>
      </c>
      <c r="E40" s="4" t="s">
        <v>9</v>
      </c>
      <c r="F40" s="18">
        <f>CostosInventario[[#This Row],[Costo compra]]/CostosInventario[[#This Row],[Cantidad compra]]</f>
        <v>0.81733333333333336</v>
      </c>
      <c r="G40" s="18"/>
      <c r="H40" s="18"/>
    </row>
    <row r="41" spans="1:8">
      <c r="A41" s="12" t="s">
        <v>49</v>
      </c>
      <c r="B41" s="12"/>
      <c r="C41" s="8">
        <f>SUM(C5:C40)</f>
        <v>2214.94</v>
      </c>
      <c r="D41" s="7"/>
      <c r="E41" s="7"/>
      <c r="F41" s="15"/>
      <c r="G41" s="16"/>
      <c r="H41" s="9"/>
    </row>
  </sheetData>
  <mergeCells count="2">
    <mergeCell ref="A1:H1"/>
    <mergeCell ref="A41:B41"/>
  </mergeCells>
  <pageMargins left="0.7" right="0.7" top="0.75" bottom="0.75" header="0.3" footer="0.3"/>
  <ignoredErrors>
    <ignoredError sqref="G6:G13 G16:G19 G23:G24 G2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Renovales</dc:creator>
  <cp:lastModifiedBy>Antonio Renovales</cp:lastModifiedBy>
  <dcterms:created xsi:type="dcterms:W3CDTF">2026-06-25T01:56:25Z</dcterms:created>
  <dcterms:modified xsi:type="dcterms:W3CDTF">2026-06-25T03:55:18Z</dcterms:modified>
</cp:coreProperties>
</file>